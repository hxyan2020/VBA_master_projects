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xyan\Desktop\Pandora\VBA\"/>
    </mc:Choice>
  </mc:AlternateContent>
  <xr:revisionPtr revIDLastSave="0" documentId="13_ncr:1_{241C0FE0-716C-4B66-8533-0FF749437514}" xr6:coauthVersionLast="46" xr6:coauthVersionMax="46" xr10:uidLastSave="{00000000-0000-0000-0000-000000000000}"/>
  <bookViews>
    <workbookView xWindow="-108" yWindow="-108" windowWidth="23256" windowHeight="12576" xr2:uid="{14EEF6A8-BD2C-4D0F-B2F5-F35F85E668B5}"/>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1" l="1" a="1"/>
  <c r="M2" i="1" s="1"/>
  <c r="D3" i="1" a="1"/>
  <c r="D3" i="1" s="1"/>
  <c r="M3" i="1" a="1"/>
  <c r="M3" i="1" s="1"/>
  <c r="M4" i="1" a="1"/>
  <c r="M4" i="1" s="1"/>
  <c r="C3" i="1" a="1"/>
  <c r="C3" i="1" s="1"/>
  <c r="C4" i="1" a="1"/>
  <c r="C4" i="1" s="1"/>
  <c r="E3" i="1" a="1"/>
  <c r="E3" i="1" s="1"/>
  <c r="F3" i="1" a="1"/>
  <c r="F3" i="1" s="1"/>
  <c r="G3" i="1" a="1"/>
  <c r="G3" i="1" s="1"/>
  <c r="H3" i="1" a="1"/>
  <c r="H3" i="1" s="1"/>
  <c r="I3" i="1" a="1"/>
  <c r="I3" i="1" s="1"/>
  <c r="J3" i="1" a="1"/>
  <c r="J3" i="1" s="1"/>
  <c r="K3" i="1" a="1"/>
  <c r="K3" i="1" s="1"/>
  <c r="L3" i="1" a="1"/>
  <c r="L3" i="1" s="1"/>
  <c r="E4" i="1" a="1"/>
  <c r="E4" i="1" s="1"/>
  <c r="F4" i="1" a="1"/>
  <c r="F4" i="1" s="1"/>
  <c r="G4" i="1" a="1"/>
  <c r="G4" i="1" s="1"/>
  <c r="H4" i="1" a="1"/>
  <c r="H4" i="1" s="1"/>
  <c r="I4" i="1" a="1"/>
  <c r="I4" i="1" s="1"/>
  <c r="J4" i="1" a="1"/>
  <c r="J4" i="1" s="1"/>
  <c r="K4" i="1" a="1"/>
  <c r="K4" i="1" s="1"/>
  <c r="L4" i="1" a="1"/>
  <c r="L4" i="1" s="1"/>
  <c r="D4" i="1" a="1"/>
  <c r="D4" i="1" s="1"/>
  <c r="L2" i="1" a="1"/>
  <c r="L2" i="1" s="1"/>
  <c r="K2" i="1" a="1"/>
  <c r="K2" i="1" s="1"/>
  <c r="J2" i="1" a="1"/>
  <c r="J2" i="1" s="1"/>
  <c r="I2" i="1" a="1"/>
  <c r="I2" i="1" s="1"/>
  <c r="H2" i="1" a="1"/>
  <c r="H2" i="1" s="1"/>
  <c r="G2" i="1" a="1"/>
  <c r="G2" i="1" s="1"/>
  <c r="F2" i="1" a="1"/>
  <c r="F2" i="1" s="1"/>
  <c r="E2" i="1" a="1"/>
  <c r="E2" i="1" s="1"/>
  <c r="D2" i="1" a="1"/>
  <c r="D2" i="1" s="1"/>
  <c r="C2" i="1" a="1"/>
  <c r="C2"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6"/>
        </ext>
      </extLst>
    </bk>
    <bk>
      <extLst>
        <ext uri="{3e2802c4-a4d2-4d8b-9148-e3be6c30e623}">
          <xlrd:rvb i="12"/>
        </ext>
      </extLst>
    </bk>
    <bk>
      <extLst>
        <ext uri="{3e2802c4-a4d2-4d8b-9148-e3be6c30e623}">
          <xlrd:rvb i="1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<sst xmlns="http://schemas.openxmlformats.org/spreadsheetml/2006/main" count="12" uniqueCount="12">
  <si>
    <t>52 Week High</t>
  </si>
  <si>
    <t xml:space="preserve">52 Week Low </t>
  </si>
  <si>
    <t>P/E</t>
  </si>
  <si>
    <t xml:space="preserve">Last Trade </t>
  </si>
  <si>
    <t>Industry</t>
  </si>
  <si>
    <t>Change (%)</t>
  </si>
  <si>
    <t>Beta</t>
  </si>
  <si>
    <t>Previous Close</t>
  </si>
  <si>
    <t>Market Cap</t>
  </si>
  <si>
    <t xml:space="preserve">Volume </t>
  </si>
  <si>
    <t>Price</t>
  </si>
  <si>
    <t>Ticker Symbol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</si>
</sst>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09]* #,##0_);_([$$-409]* \(#,##0\);_([$$-409]* &quot;-&quot;_);_(@_)"/>
    <numFmt numFmtId="165" formatCode="_([$$-409]* #,##0.00_);_([$$-409]* \(#,##0.00\);_([$$-409]* &quot;-&quot;??_);_(@_)"/>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65" fontId="0" fillId="0" borderId="0" xfId="0" applyNumberFormat="1"/>
    <xf numFmtId="4" fontId="0" fillId="0" borderId="0" xfId="0" applyNumberFormat="1"/>
    <xf numFmtId="10" fontId="0" fillId="0" borderId="0" xfId="0" applyNumberFormat="1"/>
    <xf numFmtId="22" fontId="0" fillId="0" borderId="0" xfId="0" applyNumberFormat="1"/>
    <xf numFmtId="164" fontId="0" fillId="0" borderId="0" xfId="0" applyNumberFormat="1"/>
    <xf numFmtId="3" fontId="0" fillId="0" borderId="0" xfId="0" applyNumberFormat="1"/>
  </cellXfs>
  <cellStyles count="1">
    <cellStyle name="Normal" xfId="0" builtinId="0"/>
  </cellStyles>
  <dxfs count="9">
    <dxf>
      <numFmt numFmtId="165" formatCode="_([$$-409]* #,##0.00_);_([$$-409]* \(#,##0.00\);_([$$-409]* &quot;-&quot;??_);_(@_)"/>
    </dxf>
    <dxf>
      <numFmt numFmtId="3" formatCode="#,##0"/>
    </dxf>
    <dxf>
      <numFmt numFmtId="164" formatCode="_([$$-409]* #,##0_);_([$$-409]* \(#,##0\);_([$$-409]* &quot;-&quot;_);_(@_)"/>
    </dxf>
    <dxf>
      <numFmt numFmtId="165" formatCode="_([$$-409]* #,##0.00_);_([$$-409]* \(#,##0.00\);_([$$-409]* &quot;-&quot;??_);_(@_)"/>
    </dxf>
    <dxf>
      <numFmt numFmtId="4" formatCode="#,##0.00"/>
    </dxf>
    <dxf>
      <numFmt numFmtId="27" formatCode="d/m/yyyy\ h:mm"/>
    </dxf>
    <dxf>
      <numFmt numFmtId="14" formatCode="0.00%"/>
    </dxf>
    <dxf>
      <numFmt numFmtId="4" formatCode="#,##0.00"/>
    </dxf>
    <dxf>
      <numFmt numFmtId="165" formatCode="_([$$-409]* #,##0.00_);_([$$-409]* \(#,##0.00\);_([$$-409]*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microsoft.com/office/2006/relationships/vbaProject" Target="vbaProject.bin"/><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19">
  <rv s="0">
    <v>http://en.wikipedia.org/wiki/Public_domain</v>
    <v>Public domain</v>
  </rv>
  <rv s="0">
    <v>http://en.wikipedia.org/wiki/Microsoft</v>
    <v>Wikipedia</v>
  </rv>
  <rv s="1">
    <v>0</v>
    <v>1</v>
  </rv>
  <rv s="2">
    <v>6</v>
    <v>https://www.bing.com/th?id=AMMS_c6939a08cba290c186ef1b935254e91d&amp;qlt=95</v>
    <v>2</v>
    <v>0</v>
    <v>https://www.bing.com/images/search?form=xlimg&amp;q=microsoft</v>
    <v>Image of MICROSOFT CORPORATION</v>
    <v/>
  </rv>
  <rv s="0">
    <v>https://www.bing.com/financeapi/forcetrigger?t=a1xzim&amp;q=XNAS%3aMSFT&amp;form=skydnc</v>
    <v>Learn more on Bing</v>
  </rv>
  <rv s="3">
    <v>en-SG</v>
    <v>a1xzim</v>
    <v>268435456</v>
    <v>1</v>
    <v>Powered by Refinitiv</v>
    <v>0</v>
    <v>MICROSOFT CORPORATION (XNAS:MSFT)</v>
    <v>3</v>
    <v>4</v>
    <v>Finance</v>
    <v>5</v>
    <v>243</v>
    <v>132.52000000000001</v>
    <v>0.81520000000000004</v>
    <v>3.49</v>
    <v>-8.6419999999999997E-4</v>
    <v>1.4571000000000001E-2</v>
    <v>-0.21</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245.09</v>
    <v>3</v>
    <v>Software &amp; IT Services</v>
    <v>Stock</v>
    <v>44231.041618240626</v>
    <v>4</v>
    <v>239.26</v>
    <v>1806436000000</v>
    <v>MICROSOFT CORPORATION</v>
    <v>MICROSOFT CORPORATION</v>
    <v>239.57</v>
    <v>35.672400000000003</v>
    <v>239.51</v>
    <v>243</v>
    <v>242.79</v>
    <v>7542216000</v>
    <v>MSFT</v>
    <v>MICROSOFT CORPORATION (XNAS:MSFT)</v>
    <v>27158104</v>
    <v>31351192</v>
    <v>1993</v>
  </rv>
  <rv s="4">
    <v>5</v>
  </rv>
  <rv s="0">
    <v>http://ja.wikipedia.org/wiki/アップル_(企業)</v>
    <v>Wikipedia</v>
  </rv>
  <rv s="1">
    <v>0</v>
    <v>7</v>
  </rv>
  <rv s="2">
    <v>6</v>
    <v>https://www.bing.com/th?id=AMMS_4b742b6461de24cfdaeba0c724c4b15e&amp;qlt=95</v>
    <v>8</v>
    <v>0</v>
    <v>https://www.bing.com/images/search?form=xlimg&amp;q=apple+inc</v>
    <v>Image of APPLE INC.</v>
    <v/>
  </rv>
  <rv s="0">
    <v>https://www.bing.com/financeapi/forcetrigger?t=a1mou2&amp;q=XNAS%3aAAPL&amp;form=skydnc</v>
    <v>Learn more on Bing</v>
  </rv>
  <rv s="3">
    <v>en-SG</v>
    <v>a1mou2</v>
    <v>268435456</v>
    <v>1</v>
    <v>Powered by Refinitiv</v>
    <v>0</v>
    <v>APPLE INC. (XNAS:AAPL)</v>
    <v>3</v>
    <v>4</v>
    <v>Finance</v>
    <v>5</v>
    <v>145.09</v>
    <v>53.152500000000003</v>
    <v>1.2622</v>
    <v>-1.05</v>
    <v>1.9560999999999999E-2</v>
    <v>-7.7780000000000002E-3</v>
    <v>2.62</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135.77000000000001</v>
    <v>9</v>
    <v>Computers, Phones &amp; Household Electronics</v>
    <v>Stock</v>
    <v>44231.041666064062</v>
    <v>10</v>
    <v>133.61000000000001</v>
    <v>2266225000000</v>
    <v>APPLE INC.</v>
    <v>APPLE INC.</v>
    <v>135.76</v>
    <v>36.492699999999999</v>
    <v>134.99</v>
    <v>133.94</v>
    <v>136.56</v>
    <v>16788100000</v>
    <v>AAPL</v>
    <v>APPLE INC. (XNAS:AAPL)</v>
    <v>89880937</v>
    <v>114860978</v>
    <v>1977</v>
  </rv>
  <rv s="4">
    <v>11</v>
  </rv>
  <rv s="0">
    <v>http://en.wikipedia.org/wiki/Alphabet_Inc.</v>
    <v>Wikipedia</v>
  </rv>
  <rv s="1">
    <v>0</v>
    <v>13</v>
  </rv>
  <rv s="2">
    <v>6</v>
    <v>https://www.bing.com/th?id=AMMS_91f59ff6c9305ce24b1cf0389cd856f8&amp;qlt=95</v>
    <v>14</v>
    <v>0</v>
    <v>https://www.bing.com/images/search?form=xlimg&amp;q=alphabet+inc.</v>
    <v>Image of ALPHABET INC.</v>
    <v/>
  </rv>
  <rv s="0">
    <v>https://www.bing.com/financeapi/forcetrigger?t=a1u3rw&amp;q=XNAS%3aGOOGL&amp;form=skydnc</v>
    <v>Learn more on Bing</v>
  </rv>
  <rv s="3">
    <v>en-SG</v>
    <v>a1u3rw</v>
    <v>268435456</v>
    <v>1</v>
    <v>Powered by Refinitiv</v>
    <v>0</v>
    <v>ALPHABET INC. (XNAS:GOOGL)</v>
    <v>3</v>
    <v>4</v>
    <v>Finance</v>
    <v>5</v>
    <v>2058.88</v>
    <v>1008.87</v>
    <v>0.99229999999999996</v>
    <v>139.76</v>
    <v>5.44E-4</v>
    <v>7.2825000000000001E-2</v>
    <v>1.1200000000000001</v>
    <v>USD</v>
    <v>Alphabet Inc. is a holding company. The Company's businesses include Google Inc. (Google) and its Internet products, such as Access, Calico, CapitalG, GV, Nest, Verily, Waymo and X. The Company's segments include Google and Other Bets. The Google segment includes its Internet products, such as Search, Ads, Commerce, Maps, YouTube, Google Cloud, Android, Chrome and Google Play, as well as its hardware initiatives. The Google segment is engaged in advertising, sales of digital content, applications and cloud offerings, and sales of hardware products. The Other Bets segment is engaged in the sales of Internet and television services through Google Fiber, sales of Nest products and services, and licensing and research and development (R&amp;D) services through Verily. It offers Google Assistant, which allows users to type or talk with Google; Google Maps, which helps users navigate to a store, and Google Photos, which helps users store and organize all of their photos.</v>
    <v>132121</v>
    <v>Nasdaq Stock Market</v>
    <v>XNAS</v>
    <v>XNAS</v>
    <v>1600 Amphitheatre Pkwy, MOUNTAIN VIEW, CA, 94043-1351 US</v>
    <v>2106.6233999999999</v>
    <v>15</v>
    <v>Software &amp; IT Services</v>
    <v>Stock</v>
    <v>44231.041561631253</v>
    <v>16</v>
    <v>2013.55</v>
    <v>1300911000000</v>
    <v>ALPHABET INC.</v>
    <v>ALPHABET INC.</v>
    <v>2065.61</v>
    <v>32.719299999999997</v>
    <v>1919.12</v>
    <v>2058.88</v>
    <v>2060</v>
    <v>676426300</v>
    <v>GOOGL</v>
    <v>ALPHABET INC. (XNAS:GOOGL)</v>
    <v>4894082</v>
    <v>1975534</v>
    <v>2015</v>
  </rv>
  <rv s="4">
    <v>17</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k n="Blip Identifier"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spb>
    <spb s="1">
      <v>0</v>
      <v>0</v>
    </spb>
    <spb s="2">
      <v>0</v>
      <v>0</v>
      <v>0</v>
    </spb>
    <spb s="3">
      <v>1</v>
      <v>2</v>
      <v>2</v>
      <v>2</v>
    </spb>
    <spb s="4">
      <v>1</v>
      <v>2</v>
      <v>2</v>
      <v>1</v>
      <v>3</v>
      <v>1</v>
      <v>4</v>
      <v>1</v>
      <v>1</v>
      <v>5</v>
      <v>5</v>
      <v>6</v>
      <v>7</v>
      <v>1</v>
      <v>1</v>
      <v>1</v>
      <v>5</v>
      <v>8</v>
      <v>9</v>
      <v>10</v>
      <v>11</v>
      <v>5</v>
      <v>1</v>
      <v>1</v>
      <v>6</v>
    </spb>
    <spb s="5">
      <v>at close</v>
      <v>from previous close</v>
      <v>from previous close</v>
      <v>Source: Nasdaq</v>
      <v>GMT</v>
      <v>Delayed 15 minutes</v>
      <v>from close</v>
      <v>from close</v>
    </spb>
    <spb s="6">
      <v>Powered by Refinitiv</v>
    </spb>
  </spbData>
</supportingPropertyBags>
</file>

<file path=xl/richData/rdsupportingpropertybagstructure.xml><?xml version="1.0" encoding="utf-8"?>
<spbStructures xmlns="http://schemas.microsoft.com/office/spreadsheetml/2017/richdata2" count="7">
  <s>
    <k n="^Order" t="spba"/>
    <k n="TitleProperty" t="s"/>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d/m/yyyy\ h:mm"/>
    </x:dxf>
    <x:dxf>
      <x:numFmt numFmtId="1" formatCode="0"/>
    </x:dxf>
    <x:dxf>
      <x:numFmt numFmtId="2" formatCode="0.00"/>
    </x:dxf>
  </dxfs>
  <richProperties>
    <rPr n="IsTitleField" t="b"/>
    <rPr n="IsHeroField" t="b"/>
    <rPr n="ShouldShowInCell" t="b"/>
  </richProperties>
  <richStyles>
    <rSty dxfid="0"/>
    <rSty dxfid="1"/>
    <rSty>
      <rpv i="0">1</rpv>
    </rSty>
    <rSty>
      <rpv i="1">1</rpv>
    </rSty>
    <rSty dxfid="2"/>
    <rSty dxfid="3"/>
    <rSty dxfid="4"/>
    <rSty dxfid="5"/>
    <rSty>
      <rpv i="2">1</rpv>
    </rSty>
    <rSty dxfid="6"/>
    <rSty dxfid="7"/>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DDEECF-AF42-4D1B-8323-8682A48FBC03}" name="Table1" displayName="Table1" ref="B1:M4" totalsRowShown="0">
  <autoFilter ref="B1:M4" xr:uid="{D8D0F461-1E2F-4958-B5A6-699121A511B3}"/>
  <tableColumns count="12">
    <tableColumn id="1" xr3:uid="{8FE0E496-0804-4CBF-8A26-AB7FA72A1C26}" name="Ticker Symbol"/>
    <tableColumn id="2" xr3:uid="{7E483A4C-D765-4685-A6C6-5DFAA8C892AC}" name="52 Week High">
      <calculatedColumnFormula array="1">_FV(B2,"52 week high",TRUE)</calculatedColumnFormula>
    </tableColumn>
    <tableColumn id="3" xr3:uid="{5D32C679-A5E3-4454-92C2-FEC3440E147F}" name="52 Week Low " dataDxfId="8">
      <calculatedColumnFormula array="1">_FV(B2,"52 week low",TRUE)</calculatedColumnFormula>
    </tableColumn>
    <tableColumn id="4" xr3:uid="{B86DFF78-45AE-43AE-B03B-404F074A0896}" name="Beta" dataDxfId="7">
      <calculatedColumnFormula array="1">_FV(B2,"Beta")</calculatedColumnFormula>
    </tableColumn>
    <tableColumn id="5" xr3:uid="{C55736CC-C5EA-4F1C-9106-BFCF805C3BDF}" name="Change (%)" dataDxfId="6">
      <calculatedColumnFormula array="1">_FV(B2,"Change (%)",TRUE)</calculatedColumnFormula>
    </tableColumn>
    <tableColumn id="6" xr3:uid="{1E2AB917-53F2-48B3-BE71-99B89254724B}" name="Industry">
      <calculatedColumnFormula array="1">_FV(B2,"Industry")</calculatedColumnFormula>
    </tableColumn>
    <tableColumn id="7" xr3:uid="{C552DB77-7377-4E24-B19E-262931795693}" name="Last Trade " dataDxfId="5">
      <calculatedColumnFormula array="1">_FV(B2,"Last trade time",TRUE)</calculatedColumnFormula>
    </tableColumn>
    <tableColumn id="8" xr3:uid="{DB4EFE41-8AAB-472B-AD1D-1F323778EADF}" name="P/E" dataDxfId="4">
      <calculatedColumnFormula array="1">_FV(B2,"P/E",TRUE)</calculatedColumnFormula>
    </tableColumn>
    <tableColumn id="9" xr3:uid="{AE68DAFC-E5F8-4462-9FCC-2ABAAB73F373}" name="Previous Close" dataDxfId="3">
      <calculatedColumnFormula array="1">_FV(B2,"Previous close",TRUE)</calculatedColumnFormula>
    </tableColumn>
    <tableColumn id="10" xr3:uid="{C8B2BDC9-4F55-4A60-AF04-FC304F6C7975}" name="Market Cap" dataDxfId="2">
      <calculatedColumnFormula array="1">_FV(B2,"Market cap",TRUE)</calculatedColumnFormula>
    </tableColumn>
    <tableColumn id="11" xr3:uid="{1FECF333-C845-43D4-B965-45FF2EFB8B48}" name="Volume " dataDxfId="1">
      <calculatedColumnFormula array="1">_FV(B2,"Volume")</calculatedColumnFormula>
    </tableColumn>
    <tableColumn id="12" xr3:uid="{9C6304C9-9263-45E7-BA60-8742859101D5}" name="Price" dataDxfId="0">
      <calculatedColumnFormula array="1">_FV(B2,"Price")</calculatedColumnFormula>
    </tableColumn>
  </tableColumns>
  <tableStyleInfo name="TableStyleDark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6CCAC-44F7-4D45-A075-A904C874CBD9}">
  <sheetPr codeName="Sheet1"/>
  <dimension ref="B1:M4"/>
  <sheetViews>
    <sheetView tabSelected="1" workbookViewId="0">
      <selection activeCell="M8" sqref="M8"/>
    </sheetView>
  </sheetViews>
  <sheetFormatPr defaultRowHeight="14.4" x14ac:dyDescent="0.3"/>
  <cols>
    <col min="2" max="2" width="37.109375" customWidth="1"/>
    <col min="3" max="3" width="14" customWidth="1"/>
    <col min="4" max="4" width="14.33203125" customWidth="1"/>
    <col min="5" max="5" width="6.6640625" customWidth="1"/>
    <col min="6" max="6" width="11.88671875" customWidth="1"/>
    <col min="7" max="7" width="13.5546875" customWidth="1"/>
    <col min="8" max="8" width="12.5546875" bestFit="1" customWidth="1"/>
    <col min="9" max="9" width="5.6640625" customWidth="1"/>
    <col min="10" max="10" width="14.6640625" customWidth="1"/>
    <col min="11" max="11" width="18.109375" bestFit="1" customWidth="1"/>
    <col min="12" max="12" width="9.88671875" bestFit="1" customWidth="1"/>
    <col min="13" max="13" width="10.109375" bestFit="1" customWidth="1"/>
  </cols>
  <sheetData>
    <row r="1" spans="2:13" x14ac:dyDescent="0.3">
      <c r="B1" t="s">
        <v>11</v>
      </c>
      <c r="C1" t="s">
        <v>0</v>
      </c>
      <c r="D1" t="s">
        <v>1</v>
      </c>
      <c r="E1" t="s">
        <v>6</v>
      </c>
      <c r="F1" t="s">
        <v>5</v>
      </c>
      <c r="G1" t="s">
        <v>4</v>
      </c>
      <c r="H1" t="s">
        <v>3</v>
      </c>
      <c r="I1" t="s">
        <v>2</v>
      </c>
      <c r="J1" t="s">
        <v>7</v>
      </c>
      <c r="K1" t="s">
        <v>8</v>
      </c>
      <c r="L1" t="s">
        <v>9</v>
      </c>
      <c r="M1" t="s">
        <v>10</v>
      </c>
    </row>
    <row r="2" spans="2:13" x14ac:dyDescent="0.3">
      <c r="B2" t="e" vm="1">
        <v>#VALUE!</v>
      </c>
      <c r="C2" s="1" cm="1">
        <f t="array" ref="C2">_FV(B2,"52 week high",TRUE)</f>
        <v>243</v>
      </c>
      <c r="D2" s="1" cm="1">
        <f t="array" ref="D2">_FV(B2,"52 week low",TRUE)</f>
        <v>132.52000000000001</v>
      </c>
      <c r="E2" s="2" cm="1">
        <f t="array" ref="E2">_FV(B2,"Beta")</f>
        <v>0.81520000000000004</v>
      </c>
      <c r="F2" s="3" cm="1">
        <f t="array" ref="F2">_FV(B2,"Change (%)",TRUE)</f>
        <v>1.4571000000000001E-2</v>
      </c>
      <c r="G2" t="str" cm="1">
        <f t="array" ref="G2">_FV(B2,"Industry")</f>
        <v>Software &amp; IT Services</v>
      </c>
      <c r="H2" s="4" cm="1">
        <f t="array" ref="H2">_FV(B2,"Last trade time",TRUE)</f>
        <v>44231.041618240626</v>
      </c>
      <c r="I2" s="2" cm="1">
        <f t="array" ref="I2">_FV(B2,"P/E",TRUE)</f>
        <v>35.672400000000003</v>
      </c>
      <c r="J2" s="1" cm="1">
        <f t="array" ref="J2">_FV(B2,"Previous close",TRUE)</f>
        <v>239.51</v>
      </c>
      <c r="K2" s="5" cm="1">
        <f t="array" ref="K2">_FV(B2,"Market cap",TRUE)</f>
        <v>1806436000000</v>
      </c>
      <c r="L2" s="6" cm="1">
        <f t="array" ref="L2">_FV(B2,"Volume")</f>
        <v>27158104</v>
      </c>
      <c r="M2" s="1" cm="1">
        <f t="array" ref="M2">_FV(B2,"Price")</f>
        <v>243</v>
      </c>
    </row>
    <row r="3" spans="2:13" x14ac:dyDescent="0.3">
      <c r="B3" t="e" vm="2">
        <v>#VALUE!</v>
      </c>
      <c r="C3" s="1" cm="1">
        <f t="array" ref="C3">_FV(B3,"52 week high",TRUE)</f>
        <v>145.09</v>
      </c>
      <c r="D3" s="1" cm="1">
        <f t="array" ref="D3">_FV(B3,"52 week low",TRUE)</f>
        <v>53.152500000000003</v>
      </c>
      <c r="E3" s="2" cm="1">
        <f t="array" ref="E3">_FV(B3,"Beta")</f>
        <v>1.2622</v>
      </c>
      <c r="F3" s="3" cm="1">
        <f t="array" ref="F3">_FV(B3,"Change (%)",TRUE)</f>
        <v>-7.7780000000000002E-3</v>
      </c>
      <c r="G3" t="str" cm="1">
        <f t="array" ref="G3">_FV(B3,"Industry")</f>
        <v>Computers, Phones &amp; Household Electronics</v>
      </c>
      <c r="H3" s="4" cm="1">
        <f t="array" ref="H3">_FV(B3,"Last trade time",TRUE)</f>
        <v>44231.041666064062</v>
      </c>
      <c r="I3" s="2" cm="1">
        <f t="array" ref="I3">_FV(B3,"P/E",TRUE)</f>
        <v>36.492699999999999</v>
      </c>
      <c r="J3" s="1" cm="1">
        <f t="array" ref="J3">_FV(B3,"Previous close",TRUE)</f>
        <v>134.99</v>
      </c>
      <c r="K3" s="5" cm="1">
        <f t="array" ref="K3">_FV(B3,"Market cap",TRUE)</f>
        <v>2266225000000</v>
      </c>
      <c r="L3" s="6" cm="1">
        <f t="array" ref="L3">_FV(B3,"Volume")</f>
        <v>89880937</v>
      </c>
      <c r="M3" s="1" cm="1">
        <f t="array" ref="M3">_FV(B3,"Price")</f>
        <v>133.94</v>
      </c>
    </row>
    <row r="4" spans="2:13" x14ac:dyDescent="0.3">
      <c r="B4" t="e" vm="3">
        <v>#VALUE!</v>
      </c>
      <c r="C4" s="1" cm="1">
        <f t="array" ref="C4">_FV(B4,"52 week high",TRUE)</f>
        <v>2058.88</v>
      </c>
      <c r="D4" s="1" cm="1">
        <f t="array" ref="D4">_FV(B4,"52 week low",TRUE)</f>
        <v>1008.87</v>
      </c>
      <c r="E4" s="2" cm="1">
        <f t="array" ref="E4">_FV(B4,"Beta")</f>
        <v>0.99229999999999996</v>
      </c>
      <c r="F4" s="3" cm="1">
        <f t="array" ref="F4">_FV(B4,"Change (%)",TRUE)</f>
        <v>7.2825000000000001E-2</v>
      </c>
      <c r="G4" t="str" cm="1">
        <f t="array" ref="G4">_FV(B4,"Industry")</f>
        <v>Software &amp; IT Services</v>
      </c>
      <c r="H4" s="4" cm="1">
        <f t="array" ref="H4">_FV(B4,"Last trade time",TRUE)</f>
        <v>44231.041561631253</v>
      </c>
      <c r="I4" s="2" cm="1">
        <f t="array" ref="I4">_FV(B4,"P/E",TRUE)</f>
        <v>32.719299999999997</v>
      </c>
      <c r="J4" s="1" cm="1">
        <f t="array" ref="J4">_FV(B4,"Previous close",TRUE)</f>
        <v>1919.12</v>
      </c>
      <c r="K4" s="5" cm="1">
        <f t="array" ref="K4">_FV(B4,"Market cap",TRUE)</f>
        <v>1300911000000</v>
      </c>
      <c r="L4" s="6" cm="1">
        <f t="array" ref="L4">_FV(B4,"Volume")</f>
        <v>4894082</v>
      </c>
      <c r="M4" s="1" cm="1">
        <f t="array" ref="M4">_FV(B4,"Price")</f>
        <v>2058.88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hxyan</dc:creator>
  <cp:lastModifiedBy>hxyan</cp:lastModifiedBy>
  <dcterms:created xsi:type="dcterms:W3CDTF">2021-02-03T04:15:26Z</dcterms:created>
  <dcterms:modified xsi:type="dcterms:W3CDTF">2021-02-04T07:45:42Z</dcterms:modified>
</cp:coreProperties>
</file>