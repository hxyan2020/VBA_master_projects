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8_{3B082026-F8AA-4764-A640-1A3E7C0DC143}" xr6:coauthVersionLast="45" xr6:coauthVersionMax="45" xr10:uidLastSave="{00000000-0000-0000-0000-000000000000}"/>
  <bookViews>
    <workbookView xWindow="384" yWindow="384" windowWidth="20040" windowHeight="10584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tc={AB183EF6-7A08-4177-A9E9-BAAF9CA54A6A}</author>
    <author>tc={FC89BB63-3851-4878-B526-260E2FDC71AE}</author>
    <author>tc={398E58AB-5CDA-4A9A-A2C1-20A39D783A96}</author>
  </authors>
  <commentList>
    <comment ref="L2" authorId="0" shapeId="0" xr:uid="{00000000-0006-0000-00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need to minus off the bonds completed but not in the replication option?</t>
      </text>
    </comment>
    <comment ref="J3" authorId="1" shapeId="0" xr:uid="{00000000-0006-0000-00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set by client
Reply:
    If client didnt specify a target, calculate ourselves</t>
      </text>
    </comment>
    <comment ref="H6" authorId="2" shapeId="0" xr:uid="{00000000-0006-0000-00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client specified a target volume (column J), then Matched volume = Target volume - Completed volume
If client didnt specify a target volume, then Matched volume will be calculated from the remaining DV01 that is unused.</t>
      </text>
    </comment>
  </commentList>
</comments>
</file>

<file path=xl/sharedStrings.xml><?xml version="1.0" encoding="utf-8"?>
<sst xmlns="http://schemas.openxmlformats.org/spreadsheetml/2006/main" count="63" uniqueCount="49">
  <si>
    <t>Volume</t>
    <phoneticPr fontId="0" type="noConversion"/>
  </si>
  <si>
    <t>YTM</t>
    <phoneticPr fontId="0" type="noConversion"/>
  </si>
  <si>
    <t>匹配Volume</t>
    <phoneticPr fontId="0" type="noConversion"/>
  </si>
  <si>
    <t>已成交Volume</t>
    <phoneticPr fontId="0" type="noConversion"/>
  </si>
  <si>
    <t>目标Volume</t>
    <phoneticPr fontId="0" type="noConversion"/>
  </si>
  <si>
    <t>DV01</t>
    <phoneticPr fontId="0" type="noConversion"/>
  </si>
  <si>
    <t xml:space="preserve">Selection </t>
  </si>
  <si>
    <t>成交记录</t>
    <phoneticPr fontId="0" type="noConversion"/>
  </si>
  <si>
    <t>200210.IB</t>
    <phoneticPr fontId="0" type="noConversion"/>
  </si>
  <si>
    <t>200205.IB</t>
    <phoneticPr fontId="0" type="noConversion"/>
  </si>
  <si>
    <t>190006.IB</t>
    <phoneticPr fontId="0" type="noConversion"/>
  </si>
  <si>
    <t>200006.IB</t>
    <phoneticPr fontId="0" type="noConversion"/>
  </si>
  <si>
    <t>190014.IB</t>
    <phoneticPr fontId="0" type="noConversion"/>
  </si>
  <si>
    <t>190305.IB</t>
    <phoneticPr fontId="0" type="noConversion"/>
  </si>
  <si>
    <t>180024.IB</t>
    <phoneticPr fontId="0" type="noConversion"/>
  </si>
  <si>
    <t>190210.IB</t>
    <phoneticPr fontId="0" type="noConversion"/>
  </si>
  <si>
    <t>200005.IB</t>
    <phoneticPr fontId="0" type="noConversion"/>
  </si>
  <si>
    <t>180215.IB</t>
    <phoneticPr fontId="0" type="noConversion"/>
  </si>
  <si>
    <t>190012.IB</t>
    <phoneticPr fontId="0" type="noConversion"/>
  </si>
  <si>
    <t xml:space="preserve"> </t>
  </si>
  <si>
    <t>200205.IB</t>
  </si>
  <si>
    <t>DV01</t>
  </si>
  <si>
    <t>Target Bond ID</t>
  </si>
  <si>
    <t>Target Volume</t>
  </si>
  <si>
    <t xml:space="preserve">Total Target DV01 </t>
  </si>
  <si>
    <t>CheckBox</t>
  </si>
  <si>
    <t>Total Corresponding DV01</t>
  </si>
  <si>
    <t>Total Selection</t>
  </si>
  <si>
    <t>Bond Replication Options</t>
  </si>
  <si>
    <t>Total Target Volume</t>
  </si>
  <si>
    <t>Number of Bonds with Target Volume</t>
  </si>
  <si>
    <t>Transaction Volume</t>
    <phoneticPr fontId="5" type="noConversion"/>
  </si>
  <si>
    <t>Match Volume</t>
    <phoneticPr fontId="5" type="noConversion"/>
  </si>
  <si>
    <t>Transaction
DV01</t>
    <phoneticPr fontId="5" type="noConversion"/>
  </si>
  <si>
    <t>Number of Bonds Matched</t>
    <phoneticPr fontId="5" type="noConversion"/>
  </si>
  <si>
    <t>Transaction Volume</t>
    <phoneticPr fontId="5" type="noConversion"/>
  </si>
  <si>
    <t xml:space="preserve">    Range("M4").Select</t>
  </si>
  <si>
    <t xml:space="preserve">    ActiveCell.FormulaR1C1 = "FALSE"</t>
  </si>
  <si>
    <t xml:space="preserve">    Range("M5").Select</t>
  </si>
  <si>
    <t xml:space="preserve">    Range("M6").Select</t>
  </si>
  <si>
    <t xml:space="preserve">    Range("M7").Select</t>
  </si>
  <si>
    <t xml:space="preserve">    Range("M8").Select</t>
  </si>
  <si>
    <t xml:space="preserve">    Range("M9").Select</t>
  </si>
  <si>
    <t xml:space="preserve">    Range("M10").Select</t>
  </si>
  <si>
    <t xml:space="preserve">    Range("M11").Select</t>
  </si>
  <si>
    <t xml:space="preserve">    Range("M12").Select</t>
  </si>
  <si>
    <t xml:space="preserve">    Range("M13").Select</t>
  </si>
  <si>
    <t xml:space="preserve">    Range("H4:H13").Select</t>
  </si>
  <si>
    <t xml:space="preserve">    Selection.ClearContents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</si>
</sst>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theme="1"/>
      <name val="等线"/>
      <family val="3"/>
      <charset val="134"/>
    </font>
    <font>
      <b/>
      <sz val="11"/>
      <color theme="1"/>
      <name val="等线"/>
      <family val="3"/>
      <charset val="134"/>
    </font>
    <font>
      <sz val="11"/>
      <color rgb="FF000000"/>
      <name val="Calibri"/>
      <family val="2"/>
    </font>
    <font>
      <sz val="11"/>
      <color theme="1"/>
      <name val="等线"/>
      <family val="3"/>
      <charset val="134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1" fillId="4" borderId="6" xfId="0" applyFont="1" applyFill="1" applyBorder="1"/>
    <xf numFmtId="0" fontId="2" fillId="0" borderId="0" xfId="0" applyFont="1" applyBorder="1"/>
    <xf numFmtId="0" fontId="1" fillId="5" borderId="1" xfId="0" applyFont="1" applyFill="1" applyBorder="1"/>
    <xf numFmtId="0" fontId="1" fillId="5" borderId="3" xfId="0" applyFont="1" applyFill="1" applyBorder="1"/>
    <xf numFmtId="0" fontId="1" fillId="4" borderId="0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4" fillId="0" borderId="11" xfId="0" applyFont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 wrapText="1"/>
    </xf>
    <xf numFmtId="0" fontId="1" fillId="4" borderId="9" xfId="0" applyFont="1" applyFill="1" applyBorder="1" applyAlignment="1">
      <alignment horizontal="right"/>
    </xf>
    <xf numFmtId="0" fontId="2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M$4" lockText="1"/>
</file>

<file path=xl/ctrlProps/ctrlProp2.xml><?xml version="1.0" encoding="utf-8"?>
<formControlPr xmlns="http://schemas.microsoft.com/office/spreadsheetml/2009/9/main" objectType="CheckBox" fmlaLink="$M$5" lockText="1"/>
</file>

<file path=xl/ctrlProps/ctrlProp3.xml><?xml version="1.0" encoding="utf-8"?>
<formControlPr xmlns="http://schemas.microsoft.com/office/spreadsheetml/2009/9/main" objectType="CheckBox" checked="Checked" fmlaLink="$M$6" lockText="1"/>
</file>

<file path=xl/ctrlProps/ctrlProp4.xml><?xml version="1.0" encoding="utf-8"?>
<formControlPr xmlns="http://schemas.microsoft.com/office/spreadsheetml/2009/9/main" objectType="CheckBox" checked="Checked" fmlaLink="$M$7" lockText="1"/>
</file>

<file path=xl/ctrlProps/ctrlProp5.xml><?xml version="1.0" encoding="utf-8"?>
<formControlPr xmlns="http://schemas.microsoft.com/office/spreadsheetml/2009/9/main" objectType="CheckBox" fmlaLink="$M$8" lockText="1"/>
</file>

<file path=xl/ctrlProps/ctrlProp6.xml><?xml version="1.0" encoding="utf-8"?>
<formControlPr xmlns="http://schemas.microsoft.com/office/spreadsheetml/2009/9/main" objectType="CheckBox" fmlaLink="$M$9" lockText="1"/>
</file>

<file path=xl/ctrlProps/ctrlProp7.xml><?xml version="1.0" encoding="utf-8"?>
<formControlPr xmlns="http://schemas.microsoft.com/office/spreadsheetml/2009/9/main" objectType="CheckBox" fmlaLink="$M$10" lockText="1"/>
</file>

<file path=xl/ctrlProps/ctrlProp8.xml><?xml version="1.0" encoding="utf-8"?>
<formControlPr xmlns="http://schemas.microsoft.com/office/spreadsheetml/2009/9/main" objectType="CheckBox" fmlaLink="$M$11" lockText="1"/>
</file>

<file path=xl/ctrlProps/ctrlProp9.xml><?xml version="1.0" encoding="utf-8"?>
<formControlPr xmlns="http://schemas.microsoft.com/office/spreadsheetml/2009/9/main" objectType="CheckBox" fmlaLink="$M$12" lockText="1"/>
</file>

<file path=xl/ctrlProps/ctrlProp10.xml><?xml version="1.0" encoding="utf-8"?>
<formControlPr xmlns="http://schemas.microsoft.com/office/spreadsheetml/2009/9/main" objectType="CheckBox" fmlaLink="$M$13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2</xdr:row>
          <xdr:rowOff>175260</xdr:rowOff>
        </xdr:from>
        <xdr:to>
          <xdr:col>6</xdr:col>
          <xdr:colOff>342900</xdr:colOff>
          <xdr:row>4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3</xdr:row>
          <xdr:rowOff>152400</xdr:rowOff>
        </xdr:from>
        <xdr:to>
          <xdr:col>6</xdr:col>
          <xdr:colOff>350520</xdr:colOff>
          <xdr:row>4</xdr:row>
          <xdr:rowOff>175260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4</xdr:row>
          <xdr:rowOff>160020</xdr:rowOff>
        </xdr:from>
        <xdr:to>
          <xdr:col>6</xdr:col>
          <xdr:colOff>350520</xdr:colOff>
          <xdr:row>6</xdr:row>
          <xdr:rowOff>7620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175260</xdr:rowOff>
        </xdr:from>
        <xdr:to>
          <xdr:col>6</xdr:col>
          <xdr:colOff>350520</xdr:colOff>
          <xdr:row>7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6</xdr:col>
          <xdr:colOff>350520</xdr:colOff>
          <xdr:row>8</xdr:row>
          <xdr:rowOff>7620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7</xdr:row>
          <xdr:rowOff>160020</xdr:rowOff>
        </xdr:from>
        <xdr:to>
          <xdr:col>6</xdr:col>
          <xdr:colOff>350520</xdr:colOff>
          <xdr:row>9</xdr:row>
          <xdr:rowOff>7620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8</xdr:row>
          <xdr:rowOff>160020</xdr:rowOff>
        </xdr:from>
        <xdr:to>
          <xdr:col>6</xdr:col>
          <xdr:colOff>335280</xdr:colOff>
          <xdr:row>10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9</xdr:row>
          <xdr:rowOff>175260</xdr:rowOff>
        </xdr:from>
        <xdr:to>
          <xdr:col>6</xdr:col>
          <xdr:colOff>342900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10</xdr:row>
          <xdr:rowOff>160020</xdr:rowOff>
        </xdr:from>
        <xdr:to>
          <xdr:col>6</xdr:col>
          <xdr:colOff>350520</xdr:colOff>
          <xdr:row>12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11</xdr:row>
          <xdr:rowOff>175260</xdr:rowOff>
        </xdr:from>
        <xdr:to>
          <xdr:col>6</xdr:col>
          <xdr:colOff>350520</xdr:colOff>
          <xdr:row>13</xdr:row>
          <xdr:rowOff>22860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14</xdr:row>
          <xdr:rowOff>22860</xdr:rowOff>
        </xdr:from>
        <xdr:to>
          <xdr:col>6</xdr:col>
          <xdr:colOff>1524000</xdr:colOff>
          <xdr:row>16</xdr:row>
          <xdr:rowOff>0</xdr:rowOff>
        </xdr:to>
        <xdr:sp macro="" textlink="">
          <xdr:nvSpPr>
            <xdr:cNvPr id="1049" name="Button 25" descr="Calculat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14</xdr:row>
          <xdr:rowOff>22860</xdr:rowOff>
        </xdr:from>
        <xdr:to>
          <xdr:col>8</xdr:col>
          <xdr:colOff>769620</xdr:colOff>
          <xdr:row>16</xdr:row>
          <xdr:rowOff>22860</xdr:rowOff>
        </xdr:to>
        <xdr:sp macro="" textlink="">
          <xdr:nvSpPr>
            <xdr:cNvPr id="1050" name="Button 26" descr="Clear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AN Haixiang" id="{429FCD4B-F449-4031-925E-868A3AB6E271}" userId="YAN Haixiang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0-11-18T01:34:45.02" personId="{429FCD4B-F449-4031-925E-868A3AB6E271}" id="{AB183EF6-7A08-4177-A9E9-BAAF9CA54A6A}">
    <text>Also need to minus off the bonds completed but not in the replication option?</text>
  </threadedComment>
  <threadedComment ref="J3" dT="2020-11-12T01:50:01.37" personId="{00000000-0000-0000-0000-000000000000}" id="{FC89BB63-3851-4878-B526-260E2FDC71AE}">
    <text>set by client</text>
  </threadedComment>
  <threadedComment ref="J3" dT="2020-11-12T01:50:43.18" personId="{00000000-0000-0000-0000-000000000000}" id="{43EBFDA3-6A0D-4C1C-BC29-438905603036}" parentId="{FC89BB63-3851-4878-B526-260E2FDC71AE}">
    <text>If client didnt specify a target, calculate ourselves</text>
  </threadedComment>
  <threadedComment ref="H6" dT="2020-11-12T04:06:58.61" personId="{00000000-0000-0000-0000-000000000000}" id="{398E58AB-5CDA-4A9A-A2C1-20A39D783A96}">
    <text>if client specified a target volume (column J), then Matched volume = Target volume - Completed volume
If client didnt specify a target volume, then Matched volume will be calculated from the remaining DV01 that is unused.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7"/>
  <sheetViews>
    <sheetView tabSelected="1" topLeftCell="A3" zoomScale="90" zoomScaleNormal="90" workbookViewId="0">
      <selection activeCell="H18" sqref="H18"/>
    </sheetView>
  </sheetViews>
  <sheetFormatPr defaultColWidth="9" defaultRowHeight="13.8"/>
  <cols>
    <col min="1" max="1" width="16.109375" style="1" customWidth="1"/>
    <col min="2" max="2" width="13.33203125" style="1" customWidth="1"/>
    <col min="3" max="3" width="9.6640625" style="1" customWidth="1"/>
    <col min="4" max="4" width="15.44140625" style="1" customWidth="1"/>
    <col min="5" max="5" width="9" style="1"/>
    <col min="6" max="6" width="11.21875" style="1" customWidth="1"/>
    <col min="7" max="7" width="22.44140625" style="1" customWidth="1"/>
    <col min="8" max="8" width="15.44140625" style="1" customWidth="1"/>
    <col min="9" max="9" width="22.109375" style="1" customWidth="1"/>
    <col min="10" max="10" width="24.44140625" style="1" customWidth="1"/>
    <col min="11" max="11" width="9" style="1"/>
    <col min="12" max="12" width="19.77734375" style="1" customWidth="1"/>
    <col min="13" max="13" width="11.6640625" style="1" customWidth="1"/>
    <col min="14" max="15" width="9" style="1"/>
    <col min="16" max="16" width="12" style="1" customWidth="1"/>
    <col min="17" max="17" width="9" style="1"/>
    <col min="18" max="18" width="11.44140625" style="1" bestFit="1" customWidth="1"/>
    <col min="19" max="16384" width="9" style="1"/>
  </cols>
  <sheetData>
    <row r="1" spans="1:18" s="3" customFormat="1" ht="29.4" customHeight="1">
      <c r="B1" s="38" t="s">
        <v>29</v>
      </c>
      <c r="D1" s="38" t="s">
        <v>24</v>
      </c>
      <c r="G1" s="38" t="s">
        <v>34</v>
      </c>
      <c r="H1" s="40" t="s">
        <v>32</v>
      </c>
      <c r="I1" s="38" t="s">
        <v>31</v>
      </c>
      <c r="J1" s="38" t="s">
        <v>30</v>
      </c>
      <c r="L1" s="38" t="s">
        <v>26</v>
      </c>
      <c r="M1" s="38" t="s">
        <v>27</v>
      </c>
      <c r="P1" s="38" t="s">
        <v>35</v>
      </c>
      <c r="R1" s="38" t="s">
        <v>33</v>
      </c>
    </row>
    <row r="2" spans="1:18" ht="14.4" thickBot="1">
      <c r="A2" s="12"/>
      <c r="B2" s="13">
        <f>SUM(B4:B13)</f>
        <v>10000</v>
      </c>
      <c r="C2" s="5"/>
      <c r="D2" s="11">
        <f>SUMPRODUCT(B4:B13,D4:D13)</f>
        <v>850.00000000000011</v>
      </c>
      <c r="G2" s="41">
        <v>1</v>
      </c>
      <c r="H2" s="10">
        <v>49840.30266340261</v>
      </c>
      <c r="I2" s="10">
        <v>1000</v>
      </c>
      <c r="J2" s="10">
        <v>1</v>
      </c>
      <c r="L2" s="11">
        <v>850.00000000000011</v>
      </c>
      <c r="M2" s="10">
        <v>2</v>
      </c>
      <c r="P2" s="10">
        <v>3000</v>
      </c>
      <c r="Q2" s="32"/>
      <c r="R2" s="10">
        <v>248</v>
      </c>
    </row>
    <row r="3" spans="1:18" ht="14.4" thickBot="1">
      <c r="A3" s="19" t="s">
        <v>22</v>
      </c>
      <c r="B3" s="14" t="s">
        <v>23</v>
      </c>
      <c r="C3" s="17" t="s">
        <v>1</v>
      </c>
      <c r="D3" s="18" t="s">
        <v>21</v>
      </c>
      <c r="F3" s="4" t="s">
        <v>25</v>
      </c>
      <c r="G3" s="39" t="s">
        <v>28</v>
      </c>
      <c r="H3" s="14" t="s">
        <v>2</v>
      </c>
      <c r="I3" s="14" t="s">
        <v>3</v>
      </c>
      <c r="J3" s="14" t="s">
        <v>4</v>
      </c>
      <c r="K3" s="17" t="s">
        <v>1</v>
      </c>
      <c r="L3" s="14" t="s">
        <v>5</v>
      </c>
      <c r="M3" s="18" t="s">
        <v>6</v>
      </c>
      <c r="O3" s="24" t="s">
        <v>7</v>
      </c>
      <c r="P3" s="42" t="s">
        <v>0</v>
      </c>
      <c r="Q3" s="25" t="s">
        <v>1</v>
      </c>
      <c r="R3" s="43" t="s">
        <v>5</v>
      </c>
    </row>
    <row r="4" spans="1:18" ht="14.4" thickTop="1">
      <c r="A4" s="20" t="s">
        <v>8</v>
      </c>
      <c r="B4" s="8">
        <v>10000</v>
      </c>
      <c r="C4" s="8">
        <v>2.93</v>
      </c>
      <c r="D4" s="21">
        <v>8.5000000000000006E-2</v>
      </c>
      <c r="F4" s="6"/>
      <c r="G4" s="8" t="s">
        <v>20</v>
      </c>
      <c r="H4" s="15">
        <v>0</v>
      </c>
      <c r="I4" s="37">
        <v>2000</v>
      </c>
      <c r="J4" s="33">
        <v>4000</v>
      </c>
      <c r="K4" s="8">
        <v>3.68</v>
      </c>
      <c r="L4" s="8">
        <v>8.6592836725233102E-2</v>
      </c>
      <c r="M4" s="35" t="b">
        <v>0</v>
      </c>
      <c r="O4" s="26" t="s">
        <v>20</v>
      </c>
      <c r="P4" s="27">
        <v>1000</v>
      </c>
      <c r="Q4" s="27">
        <v>2.98</v>
      </c>
      <c r="R4" s="28">
        <v>0.09</v>
      </c>
    </row>
    <row r="5" spans="1:18">
      <c r="A5" s="20"/>
      <c r="B5" s="8"/>
      <c r="C5" s="8"/>
      <c r="D5" s="21"/>
      <c r="F5" s="6"/>
      <c r="G5" s="8" t="s">
        <v>10</v>
      </c>
      <c r="H5" s="15">
        <v>0</v>
      </c>
      <c r="I5" s="37">
        <v>0</v>
      </c>
      <c r="J5" s="33">
        <v>4000</v>
      </c>
      <c r="K5" s="8">
        <v>2.52</v>
      </c>
      <c r="L5" s="8">
        <v>6.750780034318303E-2</v>
      </c>
      <c r="M5" s="35" t="b">
        <v>0</v>
      </c>
      <c r="O5" s="26" t="s">
        <v>9</v>
      </c>
      <c r="P5" s="27">
        <v>1000</v>
      </c>
      <c r="Q5" s="27">
        <v>2.9775</v>
      </c>
      <c r="R5" s="28">
        <v>8.8999999999999996E-2</v>
      </c>
    </row>
    <row r="6" spans="1:18">
      <c r="A6" s="20"/>
      <c r="B6" s="8"/>
      <c r="C6" s="8"/>
      <c r="D6" s="21"/>
      <c r="F6" s="6"/>
      <c r="G6" s="8" t="s">
        <v>11</v>
      </c>
      <c r="H6" s="15">
        <v>1000</v>
      </c>
      <c r="I6" s="37">
        <v>1000</v>
      </c>
      <c r="J6" s="33">
        <v>2000</v>
      </c>
      <c r="K6" s="8">
        <v>2.5099999999999998</v>
      </c>
      <c r="L6" s="8">
        <v>7.023378948658475E-2</v>
      </c>
      <c r="M6" s="35" t="b">
        <v>1</v>
      </c>
      <c r="O6" s="26" t="s">
        <v>11</v>
      </c>
      <c r="P6" s="27">
        <v>1000</v>
      </c>
      <c r="Q6" s="27">
        <v>2.5125000000000002</v>
      </c>
      <c r="R6" s="28">
        <v>6.9000000000000006E-2</v>
      </c>
    </row>
    <row r="7" spans="1:18">
      <c r="A7" s="20"/>
      <c r="B7" s="8"/>
      <c r="C7" s="8"/>
      <c r="D7" s="21"/>
      <c r="F7" s="6"/>
      <c r="G7" s="8" t="s">
        <v>12</v>
      </c>
      <c r="H7" s="15">
        <v>48840.30266340261</v>
      </c>
      <c r="I7" s="37">
        <v>0</v>
      </c>
      <c r="J7" s="33"/>
      <c r="K7" s="8">
        <v>2.5</v>
      </c>
      <c r="L7" s="8">
        <v>1.0887856575710422E-2</v>
      </c>
      <c r="M7" s="35" t="b">
        <v>1</v>
      </c>
      <c r="O7" s="26"/>
      <c r="P7" s="27"/>
      <c r="Q7" s="27"/>
      <c r="R7" s="28"/>
    </row>
    <row r="8" spans="1:18">
      <c r="A8" s="20"/>
      <c r="B8" s="8"/>
      <c r="C8" s="8"/>
      <c r="D8" s="21"/>
      <c r="F8" s="6"/>
      <c r="G8" s="8" t="s">
        <v>13</v>
      </c>
      <c r="H8" s="15">
        <v>0</v>
      </c>
      <c r="I8" s="37">
        <v>0</v>
      </c>
      <c r="J8" s="33"/>
      <c r="K8" s="8">
        <v>2.48</v>
      </c>
      <c r="L8" s="8">
        <v>3.1815709501351645E-2</v>
      </c>
      <c r="M8" s="35" t="b">
        <v>0</v>
      </c>
      <c r="O8" s="26"/>
      <c r="P8" s="27"/>
      <c r="Q8" s="27"/>
      <c r="R8" s="28"/>
    </row>
    <row r="9" spans="1:18">
      <c r="A9" s="20"/>
      <c r="B9" s="8"/>
      <c r="C9" s="8"/>
      <c r="D9" s="21"/>
      <c r="F9" s="6"/>
      <c r="G9" s="8" t="s">
        <v>14</v>
      </c>
      <c r="H9" s="15">
        <v>0</v>
      </c>
      <c r="I9" s="37">
        <v>0</v>
      </c>
      <c r="J9" s="33"/>
      <c r="K9" s="8">
        <v>2.4700000000000002</v>
      </c>
      <c r="L9" s="8">
        <v>0.17725486988926403</v>
      </c>
      <c r="M9" s="35" t="b">
        <v>0</v>
      </c>
      <c r="O9" s="26"/>
      <c r="P9" s="27"/>
      <c r="Q9" s="27"/>
      <c r="R9" s="28"/>
    </row>
    <row r="10" spans="1:18">
      <c r="A10" s="20"/>
      <c r="B10" s="8"/>
      <c r="C10" s="8"/>
      <c r="D10" s="21"/>
      <c r="F10" s="6"/>
      <c r="G10" s="8" t="s">
        <v>15</v>
      </c>
      <c r="H10" s="15">
        <v>0</v>
      </c>
      <c r="I10" s="37">
        <v>0</v>
      </c>
      <c r="J10" s="33"/>
      <c r="K10" s="8">
        <v>2.46</v>
      </c>
      <c r="L10" s="8">
        <v>8.0750863633458042E-2</v>
      </c>
      <c r="M10" s="35" t="b">
        <v>0</v>
      </c>
      <c r="O10" s="26"/>
      <c r="P10" s="27"/>
      <c r="Q10" s="27"/>
      <c r="R10" s="28"/>
    </row>
    <row r="11" spans="1:18">
      <c r="A11" s="20"/>
      <c r="B11" s="8"/>
      <c r="C11" s="8"/>
      <c r="D11" s="21"/>
      <c r="F11" s="6"/>
      <c r="G11" s="8" t="s">
        <v>16</v>
      </c>
      <c r="H11" s="15">
        <v>0</v>
      </c>
      <c r="I11" s="37">
        <v>0</v>
      </c>
      <c r="J11" s="33"/>
      <c r="K11" s="8">
        <v>2.4500000000000002</v>
      </c>
      <c r="L11" s="8">
        <v>4.0650256519203905E-2</v>
      </c>
      <c r="M11" s="35" t="b">
        <v>0</v>
      </c>
      <c r="O11" s="26"/>
      <c r="P11" s="27"/>
      <c r="Q11" s="27"/>
      <c r="R11" s="28"/>
    </row>
    <row r="12" spans="1:18">
      <c r="A12" s="20"/>
      <c r="B12" s="8"/>
      <c r="C12" s="8"/>
      <c r="D12" s="21"/>
      <c r="F12" s="6"/>
      <c r="G12" s="8" t="s">
        <v>17</v>
      </c>
      <c r="H12" s="15">
        <v>0</v>
      </c>
      <c r="I12" s="37">
        <v>0</v>
      </c>
      <c r="J12" s="33"/>
      <c r="K12" s="8">
        <v>2.44</v>
      </c>
      <c r="L12" s="8">
        <v>0.02</v>
      </c>
      <c r="M12" s="35" t="b">
        <v>0</v>
      </c>
      <c r="O12" s="26"/>
      <c r="P12" s="27"/>
      <c r="Q12" s="27"/>
      <c r="R12" s="28"/>
    </row>
    <row r="13" spans="1:18">
      <c r="A13" s="22"/>
      <c r="B13" s="9"/>
      <c r="C13" s="9"/>
      <c r="D13" s="23"/>
      <c r="F13" s="7"/>
      <c r="G13" s="9" t="s">
        <v>18</v>
      </c>
      <c r="H13" s="16">
        <v>0</v>
      </c>
      <c r="I13" s="37">
        <v>0</v>
      </c>
      <c r="J13" s="34"/>
      <c r="K13" s="9">
        <v>2.4900000000000002</v>
      </c>
      <c r="L13" s="9">
        <v>0.05</v>
      </c>
      <c r="M13" s="36" t="b">
        <v>0</v>
      </c>
      <c r="O13" s="29"/>
      <c r="P13" s="30"/>
      <c r="Q13" s="30"/>
      <c r="R13" s="31"/>
    </row>
    <row r="14" spans="1:18">
      <c r="C14" s="1" t="s">
        <v>19</v>
      </c>
      <c r="F14" s="2"/>
      <c r="G14" s="2"/>
      <c r="O14" s="32"/>
      <c r="P14" s="32"/>
      <c r="Q14" s="32"/>
      <c r="R14" s="32"/>
    </row>
    <row r="15" spans="1:18">
      <c r="A15" s="3"/>
      <c r="B15" s="2"/>
      <c r="C15" s="2"/>
      <c r="D15" s="2"/>
      <c r="E15" s="2"/>
      <c r="F15" s="2"/>
      <c r="G15" s="2"/>
    </row>
    <row r="16" spans="1:18">
      <c r="B16" s="1" t="s">
        <v>36</v>
      </c>
    </row>
    <row r="17" spans="2:2">
      <c r="B17" s="1" t="s">
        <v>37</v>
      </c>
    </row>
    <row r="18" spans="2:2">
      <c r="B18" s="1" t="s">
        <v>38</v>
      </c>
    </row>
    <row r="19" spans="2:2">
      <c r="B19" s="1" t="s">
        <v>37</v>
      </c>
    </row>
    <row r="20" spans="2:2">
      <c r="B20" s="1" t="s">
        <v>39</v>
      </c>
    </row>
    <row r="21" spans="2:2">
      <c r="B21" s="1" t="s">
        <v>37</v>
      </c>
    </row>
    <row r="22" spans="2:2">
      <c r="B22" s="1" t="s">
        <v>40</v>
      </c>
    </row>
    <row r="23" spans="2:2">
      <c r="B23" s="1" t="s">
        <v>37</v>
      </c>
    </row>
    <row r="24" spans="2:2">
      <c r="B24" s="1" t="s">
        <v>41</v>
      </c>
    </row>
    <row r="25" spans="2:2">
      <c r="B25" s="1" t="s">
        <v>37</v>
      </c>
    </row>
    <row r="26" spans="2:2">
      <c r="B26" s="1" t="s">
        <v>42</v>
      </c>
    </row>
    <row r="27" spans="2:2">
      <c r="B27" s="1" t="s">
        <v>37</v>
      </c>
    </row>
    <row r="28" spans="2:2">
      <c r="B28" s="1" t="s">
        <v>43</v>
      </c>
    </row>
    <row r="29" spans="2:2">
      <c r="B29" s="1" t="s">
        <v>37</v>
      </c>
    </row>
    <row r="30" spans="2:2">
      <c r="B30" s="1" t="s">
        <v>44</v>
      </c>
    </row>
    <row r="31" spans="2:2">
      <c r="B31" s="1" t="s">
        <v>37</v>
      </c>
    </row>
    <row r="32" spans="2:2">
      <c r="B32" s="1" t="s">
        <v>45</v>
      </c>
    </row>
    <row r="33" spans="2:2">
      <c r="B33" s="1" t="s">
        <v>37</v>
      </c>
    </row>
    <row r="34" spans="2:2">
      <c r="B34" s="1" t="s">
        <v>46</v>
      </c>
    </row>
    <row r="35" spans="2:2">
      <c r="B35" s="1" t="s">
        <v>37</v>
      </c>
    </row>
    <row r="36" spans="2:2">
      <c r="B36" s="1" t="s">
        <v>47</v>
      </c>
    </row>
    <row r="37" spans="2:2">
      <c r="B37" s="1" t="s">
        <v>48</v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Check Box 13">
              <controlPr defaultSize="0" autoFill="0" autoLine="0" autoPict="0">
                <anchor moveWithCells="1">
                  <from>
                    <xdr:col>5</xdr:col>
                    <xdr:colOff>365760</xdr:colOff>
                    <xdr:row>2</xdr:row>
                    <xdr:rowOff>175260</xdr:rowOff>
                  </from>
                  <to>
                    <xdr:col>6</xdr:col>
                    <xdr:colOff>342900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Check Box 14">
              <controlPr defaultSize="0" autoFill="0" autoLine="0" autoPict="0">
                <anchor moveWithCells="1">
                  <from>
                    <xdr:col>5</xdr:col>
                    <xdr:colOff>373380</xdr:colOff>
                    <xdr:row>3</xdr:row>
                    <xdr:rowOff>152400</xdr:rowOff>
                  </from>
                  <to>
                    <xdr:col>6</xdr:col>
                    <xdr:colOff>350520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>
                <anchor moveWithCells="1">
                  <from>
                    <xdr:col>5</xdr:col>
                    <xdr:colOff>373380</xdr:colOff>
                    <xdr:row>4</xdr:row>
                    <xdr:rowOff>160020</xdr:rowOff>
                  </from>
                  <to>
                    <xdr:col>6</xdr:col>
                    <xdr:colOff>350520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Check Box 16">
              <controlPr defaultSize="0" autoFill="0" autoLine="0" autoPict="0">
                <anchor moveWithCells="1">
                  <from>
                    <xdr:col>5</xdr:col>
                    <xdr:colOff>373380</xdr:colOff>
                    <xdr:row>5</xdr:row>
                    <xdr:rowOff>175260</xdr:rowOff>
                  </from>
                  <to>
                    <xdr:col>6</xdr:col>
                    <xdr:colOff>350520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heck Box 17">
              <controlPr defaultSize="0" autoFill="0" autoLine="0" autoPict="0">
                <anchor moveWithCells="1">
                  <from>
                    <xdr:col>5</xdr:col>
                    <xdr:colOff>373380</xdr:colOff>
                    <xdr:row>6</xdr:row>
                    <xdr:rowOff>160020</xdr:rowOff>
                  </from>
                  <to>
                    <xdr:col>6</xdr:col>
                    <xdr:colOff>350520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5</xdr:col>
                    <xdr:colOff>373380</xdr:colOff>
                    <xdr:row>7</xdr:row>
                    <xdr:rowOff>160020</xdr:rowOff>
                  </from>
                  <to>
                    <xdr:col>6</xdr:col>
                    <xdr:colOff>350520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Check Box 19">
              <controlPr defaultSize="0" autoFill="0" autoLine="0" autoPict="0">
                <anchor moveWithCells="1">
                  <from>
                    <xdr:col>5</xdr:col>
                    <xdr:colOff>373380</xdr:colOff>
                    <xdr:row>8</xdr:row>
                    <xdr:rowOff>160020</xdr:rowOff>
                  </from>
                  <to>
                    <xdr:col>6</xdr:col>
                    <xdr:colOff>335280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Check Box 20">
              <controlPr defaultSize="0" autoFill="0" autoLine="0" autoPict="0">
                <anchor moveWithCells="1">
                  <from>
                    <xdr:col>5</xdr:col>
                    <xdr:colOff>373380</xdr:colOff>
                    <xdr:row>9</xdr:row>
                    <xdr:rowOff>175260</xdr:rowOff>
                  </from>
                  <to>
                    <xdr:col>6</xdr:col>
                    <xdr:colOff>342900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Check Box 21">
              <controlPr defaultSize="0" autoFill="0" autoLine="0" autoPict="0">
                <anchor moveWithCells="1">
                  <from>
                    <xdr:col>5</xdr:col>
                    <xdr:colOff>373380</xdr:colOff>
                    <xdr:row>10</xdr:row>
                    <xdr:rowOff>160020</xdr:rowOff>
                  </from>
                  <to>
                    <xdr:col>6</xdr:col>
                    <xdr:colOff>350520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Check Box 22">
              <controlPr defaultSize="0" autoFill="0" autoLine="0" autoPict="0">
                <anchor moveWithCells="1">
                  <from>
                    <xdr:col>5</xdr:col>
                    <xdr:colOff>373380</xdr:colOff>
                    <xdr:row>11</xdr:row>
                    <xdr:rowOff>175260</xdr:rowOff>
                  </from>
                  <to>
                    <xdr:col>6</xdr:col>
                    <xdr:colOff>350520</xdr:colOff>
                    <xdr:row>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Button 25">
              <controlPr defaultSize="0" print="0" autoFill="0" autoPict="0" macro="[0]!Sheet1.cal" altText="Calculate">
                <anchor moveWithCells="1" sizeWithCells="1">
                  <from>
                    <xdr:col>4</xdr:col>
                    <xdr:colOff>609600</xdr:colOff>
                    <xdr:row>14</xdr:row>
                    <xdr:rowOff>22860</xdr:rowOff>
                  </from>
                  <to>
                    <xdr:col>6</xdr:col>
                    <xdr:colOff>1524000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Button 26">
              <controlPr defaultSize="0" print="0" autoFill="0" autoPict="0" macro="[0]!Module1.clear_selection" altText="Clear">
                <anchor moveWithCells="1" sizeWithCells="1">
                  <from>
                    <xdr:col>7</xdr:col>
                    <xdr:colOff>228600</xdr:colOff>
                    <xdr:row>14</xdr:row>
                    <xdr:rowOff>22860</xdr:rowOff>
                  </from>
                  <to>
                    <xdr:col>8</xdr:col>
                    <xdr:colOff>769620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hxyan</dc:creator>
  <cp:lastModifiedBy>hxyan</cp:lastModifiedBy>
  <dcterms:created xsi:type="dcterms:W3CDTF">2020-11-17T03:57:03Z</dcterms:created>
  <dcterms:modified xsi:type="dcterms:W3CDTF">2020-12-27T10:18:43Z</dcterms:modified>
</cp:coreProperties>
</file>